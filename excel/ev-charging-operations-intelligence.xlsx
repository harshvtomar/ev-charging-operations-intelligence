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ff9ec800d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cf811ed2164468"/>
    <x:sheet xmlns:r="http://schemas.openxmlformats.org/officeDocument/2006/relationships" name="Monthly Data" sheetId="2" r:id="R7588589941bc47d0"/>
    <x:sheet xmlns:r="http://schemas.openxmlformats.org/officeDocument/2006/relationships" name="Capacity Lab" sheetId="3" r:id="R49f6fc7590fb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#,##0.00"/>
    <x:numFmt numFmtId="202" formatCode="#,##0"/>
    <x:numFmt numFmtId="203" formatCode="#,##0.0"/>
    <x:numFmt numFmtId="204" formatCode="&quot;$&quot;#,##0"/>
    <x:numFmt numFmtId="205" formatCode="0.0%"/>
  </x:numFmts>
  <x:fonts count="8">
    <x:font>
      <x:sz val="11"/>
      <x:name val="Carlito"/>
    </x:font>
    <x:font>
      <x:sz val="10"/>
      <x:color rgb="FF182C45"/>
      <x:name val="Arial"/>
    </x:font>
    <x:font>
      <x:b/>
      <x:sz val="16"/>
      <x:color rgb="FF17365D"/>
      <x:name val="Arial"/>
    </x:font>
    <x:font>
      <x:i/>
      <x:sz val="10"/>
      <x:color rgb="FF63758A"/>
      <x:name val="Arial"/>
    </x:font>
    <x:font>
      <x:b/>
      <x:sz val="10"/>
      <x:color rgb="FFFFFFFF"/>
      <x:name val="Arial"/>
    </x:font>
    <x:font>
      <x:sz val="10"/>
      <x:color rgb="FF1A50AF"/>
      <x:name val="Arial"/>
    </x:font>
    <x:font>
      <x:i/>
      <x:sz val="10"/>
      <x:color rgb="FF182C45"/>
      <x:name val="Arial"/>
    </x:font>
    <x:font>
      <x:b/>
      <x:sz val="10"/>
      <x:color rgb="FF6375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B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FC0D2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b15197b034c5c" /><Relationship Type="http://schemas.openxmlformats.org/officeDocument/2006/relationships/theme" Target="/xl/theme/theme1.xml" Id="R08fb4a05dd2740bd" /><Relationship Type="http://schemas.openxmlformats.org/officeDocument/2006/relationships/sharedStrings" Target="/xl/sharedStrings.xml" Id="R8bf43f7ee29d4556" /><Relationship Type="http://schemas.openxmlformats.org/officeDocument/2006/relationships/worksheet" Target="/xl/worksheets/sheet1.xml" Id="Rfbcf811ed2164468" /><Relationship Type="http://schemas.openxmlformats.org/officeDocument/2006/relationships/worksheet" Target="/xl/worksheets/sheet2.xml" Id="R7588589941bc47d0" /><Relationship Type="http://schemas.openxmlformats.org/officeDocument/2006/relationships/worksheet" Target="/xl/worksheets/sheet3.xml" Id="R49f6fc7590fb43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e9955f9db844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Delivered energy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Delivered energy</c:v>
          </c:tx>
          <c:spPr>
            <a:solidFill xmlns:a="http://schemas.openxmlformats.org/drawingml/2006/main">
              <a:srgbClr val="2474A6"/>
            </a:solidFill>
            <a:ln xmlns:a="http://schemas.openxmlformats.org/drawingml/2006/main" w="19050">
              <a:solidFill>
                <a:srgbClr val="2474A6"/>
              </a:solidFill>
              <a:prstDash val="solid"/>
            </a:ln>
          </c:spPr>
          <c:marker>
            <c:symbol val="none"/>
          </c:marker>
          <c:cat>
            <c:strRef>
              <c:f>'Dashboard'!$A$23:$A$28</c:f>
              <c:strCache>
                <c:ptCount val="0"/>
              </c:strCache>
            </c:strRef>
          </c:cat>
          <c:val>
            <c:numRef>
              <c:f>'Dashboard'!$B$23:$B$28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9955f9db844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ource" displayName="MonthlySource" ref="A5:J29" headerRowCount="1" totalsRowCount="0" totalsRowShown="0">
  <x:tableColumns count="10">
    <x:tableColumn id="1" name="month"/>
    <x:tableColumn id="2" name="segment"/>
    <x:tableColumn id="3" name="sessions"/>
    <x:tableColumn id="4" name="successes"/>
    <x:tableColumn id="5" name="energy_kwh"/>
    <x:tableColumn id="6" name="revenue"/>
    <x:tableColumn id="7" name="contribution"/>
    <x:tableColumn id="8" name="planned_hours"/>
    <x:tableColumn id="9" name="available_hours"/>
    <x:tableColumn id="10" name="occupied_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0d2ac6819141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3e9cc06f8a487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EV Charging Operations Intelligence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 t="str">
        <x:v>Synthetic portfolio data. USD monetary values. Select a segment to update formulas and charts.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2" customHeight="1">
      <x:c r="A5" s="2" t="str">
        <x:v>Segment</x:v>
      </x:c>
      <x:c r="B5" s="17" t="str">
        <x:v>All</x:v>
      </x:c>
      <x:c r="C5" s="2"/>
      <x:c r="D5" s="2"/>
      <x:c r="E5" s="2"/>
      <x:c r="F5" s="2"/>
      <x:c r="G5" s="18" t="str">
        <x:v>Editable controls are amber.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0" t="str">
        <x:v>Delivered energy</x:v>
      </x:c>
      <x:c r="B7" s="2"/>
      <x:c r="C7" s="2"/>
      <x:c r="D7" s="2"/>
      <x:c r="E7" s="20" t="str">
        <x:v>Session success</x:v>
      </x:c>
      <x:c r="F7" s="2"/>
      <x:c r="G7" s="2"/>
      <x:c r="H7" s="2"/>
      <x:c r="I7" s="20" t="str">
        <x:v>Network uptime</x:v>
      </x:c>
      <x:c r="J7" s="2"/>
      <x:c r="K7" s="2"/>
      <x:c r="L7" s="2"/>
      <x:c r="M7" s="20" t="str">
        <x:v>Contribution</x:v>
      </x:c>
      <x:c r="N7" s="2"/>
      <x:c r="O7" s="2"/>
      <x:c r="P7" s="2"/>
      <x:c r="Q7" s="2"/>
    </x:row>
    <x:row r="8" ht="22" customHeight="1">
      <x:c r="A8" s="21" t="n">
        <x:f>SUM(B13:B18)</x:f>
        <x:v>1470145.7669999998</x:v>
      </x:c>
      <x:c r="B8" s="2"/>
      <x:c r="C8" s="2"/>
      <x:c r="D8" s="2"/>
      <x:c r="E8" s="22" t="n">
        <x:f>IF(SUM(D13:D18)=0,"n.a.",SUM(C13:C18)/SUM(D13:D18))</x:f>
        <x:v>0.9479757825303734</x:v>
      </x:c>
      <x:c r="F8" s="2"/>
      <x:c r="G8" s="2"/>
      <x:c r="H8" s="2"/>
      <x:c r="I8" s="22" t="n">
        <x:f>IF(SUM(F13:F18)=0,"n.a.",SUM(E13:E18)/SUM(F13:F18))</x:f>
        <x:v>0.9881712593922651</x:v>
      </x:c>
      <x:c r="J8" s="2"/>
      <x:c r="K8" s="2"/>
      <x:c r="L8" s="2"/>
      <x:c r="M8" s="23" t="n">
        <x:f>SUM(G13:G18)</x:f>
        <x:v>276161.1392</x:v>
      </x:c>
      <x:c r="N8" s="2"/>
      <x:c r="O8" s="2"/>
      <x:c r="P8" s="2"/>
      <x:c r="Q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6" customHeight="1">
      <x:c r="A12" s="12" t="str">
        <x:v>Month</x:v>
      </x:c>
      <x:c r="B12" s="12" t="str">
        <x:v>energy kwh</x:v>
      </x:c>
      <x:c r="C12" s="12" t="str">
        <x:v>successes</x:v>
      </x:c>
      <x:c r="D12" s="12" t="str">
        <x:v>sessions</x:v>
      </x:c>
      <x:c r="E12" s="12" t="str">
        <x:v>available hours</x:v>
      </x:c>
      <x:c r="F12" s="12" t="str">
        <x:v>planned hours</x:v>
      </x:c>
      <x:c r="G12" s="12" t="str">
        <x:v>contribution</x:v>
      </x:c>
      <x:c r="H12" s="12" t="str">
        <x:v>Session success</x:v>
      </x:c>
      <x:c r="I12" s="12" t="str">
        <x:v>Network uptime</x:v>
      </x:c>
      <x:c r="J12" s="2"/>
      <x:c r="K12" s="2"/>
      <x:c r="L12" s="2"/>
      <x:c r="M12" s="2"/>
      <x:c r="N12" s="2"/>
      <x:c r="O12" s="2"/>
      <x:c r="P12" s="2"/>
      <x:c r="Q12" s="2"/>
    </x:row>
    <x:row r="13" ht="25" customHeight="1">
      <x:c r="A13" s="10" t="d">
        <x:v>2025-01-01T00:00:00.000Z</x:v>
      </x:c>
      <x:c r="B13" s="13" t="n">
        <x:f>IF($B$5="All",SUMIFS('Monthly Data'!$E$6:$E$29,'Monthly Data'!$A$6:$A$29,$A13),SUMIFS('Monthly Data'!$E$6:$E$29,'Monthly Data'!$A$6:$A$29,$A13,'Monthly Data'!$B$6:$B$29,$B$5))</x:f>
        <x:v>253975.0303</x:v>
      </x:c>
      <x:c r="C13" s="13" t="n">
        <x:f>IF($B$5="All",SUMIFS('Monthly Data'!$D$6:$D$29,'Monthly Data'!$A$6:$A$29,$A13),SUMIFS('Monthly Data'!$D$6:$D$29,'Monthly Data'!$A$6:$A$29,$A13,'Monthly Data'!$B$6:$B$29,$B$5))</x:f>
        <x:v>12062</x:v>
      </x:c>
      <x:c r="D13" s="13" t="n">
        <x:f>IF($B$5="All",SUMIFS('Monthly Data'!$C$6:$C$29,'Monthly Data'!$A$6:$A$29,$A13),SUMIFS('Monthly Data'!$C$6:$C$29,'Monthly Data'!$A$6:$A$29,$A13,'Monthly Data'!$B$6:$B$29,$B$5))</x:f>
        <x:v>12683</x:v>
      </x:c>
      <x:c r="E13" s="13" t="n">
        <x:f>IF($B$5="All",SUMIFS('Monthly Data'!$I$6:$I$29,'Monthly Data'!$A$6:$A$29,$A13),SUMIFS('Monthly Data'!$I$6:$I$29,'Monthly Data'!$A$6:$A$29,$A13,'Monthly Data'!$B$6:$B$29,$B$5))</x:f>
        <x:v>91918.10137</x:v>
      </x:c>
      <x:c r="F13" s="13" t="n">
        <x:f>IF($B$5="All",SUMIFS('Monthly Data'!$H$6:$H$29,'Monthly Data'!$A$6:$A$29,$A13),SUMIFS('Monthly Data'!$H$6:$H$29,'Monthly Data'!$A$6:$A$29,$A13,'Monthly Data'!$B$6:$B$29,$B$5))</x:f>
        <x:v>93000</x:v>
      </x:c>
      <x:c r="G13" s="15" t="n">
        <x:f>IF($B$5="All",SUMIFS('Monthly Data'!$G$6:$G$29,'Monthly Data'!$A$6:$A$29,$A13),SUMIFS('Monthly Data'!$G$6:$G$29,'Monthly Data'!$A$6:$A$29,$A13,'Monthly Data'!$B$6:$B$29,$B$5))</x:f>
        <x:v>47698.5976</x:v>
      </x:c>
      <x:c r="H13" s="19" t="n">
        <x:f>IF(D13=0,"n.a.",C13/D13)</x:f>
        <x:v>0.9510368209414176</x:v>
      </x:c>
      <x:c r="I13" s="19" t="n">
        <x:f>IF(F13=0,"n.a.",E13/F13)</x:f>
        <x:v>0.9883666813978496</x:v>
      </x:c>
      <x:c r="J13" s="2"/>
      <x:c r="K13" s="2"/>
      <x:c r="L13" s="2"/>
      <x:c r="M13" s="2"/>
      <x:c r="N13" s="2"/>
      <x:c r="O13" s="2"/>
      <x:c r="P13" s="2"/>
      <x:c r="Q13" s="2"/>
    </x:row>
    <x:row r="14" ht="25" customHeight="1">
      <x:c r="A14" s="10" t="d">
        <x:v>2025-02-01T00:00:00.000Z</x:v>
      </x:c>
      <x:c r="B14" s="13" t="n">
        <x:f>IF($B$5="All",SUMIFS('Monthly Data'!$E$6:$E$29,'Monthly Data'!$A$6:$A$29,$A14),SUMIFS('Monthly Data'!$E$6:$E$29,'Monthly Data'!$A$6:$A$29,$A14,'Monthly Data'!$B$6:$B$29,$B$5))</x:f>
        <x:v>244640.322</x:v>
      </x:c>
      <x:c r="C14" s="13" t="n">
        <x:f>IF($B$5="All",SUMIFS('Monthly Data'!$D$6:$D$29,'Monthly Data'!$A$6:$A$29,$A14),SUMIFS('Monthly Data'!$D$6:$D$29,'Monthly Data'!$A$6:$A$29,$A14,'Monthly Data'!$B$6:$B$29,$B$5))</x:f>
        <x:v>11654</x:v>
      </x:c>
      <x:c r="D14" s="13" t="n">
        <x:f>IF($B$5="All",SUMIFS('Monthly Data'!$C$6:$C$29,'Monthly Data'!$A$6:$A$29,$A14),SUMIFS('Monthly Data'!$C$6:$C$29,'Monthly Data'!$A$6:$A$29,$A14,'Monthly Data'!$B$6:$B$29,$B$5))</x:f>
        <x:v>12297</x:v>
      </x:c>
      <x:c r="E14" s="13" t="n">
        <x:f>IF($B$5="All",SUMIFS('Monthly Data'!$I$6:$I$29,'Monthly Data'!$A$6:$A$29,$A14),SUMIFS('Monthly Data'!$I$6:$I$29,'Monthly Data'!$A$6:$A$29,$A14,'Monthly Data'!$B$6:$B$29,$B$5))</x:f>
        <x:v>82995.13115</x:v>
      </x:c>
      <x:c r="F14" s="13" t="n">
        <x:f>IF($B$5="All",SUMIFS('Monthly Data'!$H$6:$H$29,'Monthly Data'!$A$6:$A$29,$A14),SUMIFS('Monthly Data'!$H$6:$H$29,'Monthly Data'!$A$6:$A$29,$A14,'Monthly Data'!$B$6:$B$29,$B$5))</x:f>
        <x:v>84000</x:v>
      </x:c>
      <x:c r="G14" s="15" t="n">
        <x:f>IF($B$5="All",SUMIFS('Monthly Data'!$G$6:$G$29,'Monthly Data'!$A$6:$A$29,$A14),SUMIFS('Monthly Data'!$G$6:$G$29,'Monthly Data'!$A$6:$A$29,$A14,'Monthly Data'!$B$6:$B$29,$B$5))</x:f>
        <x:v>46688.701799999995</x:v>
      </x:c>
      <x:c r="H14" s="19" t="n">
        <x:f>IF(D14=0,"n.a.",C14/D14)</x:f>
        <x:v>0.9477108237781573</x:v>
      </x:c>
      <x:c r="I14" s="19" t="n">
        <x:f>IF(F14=0,"n.a.",E14/F14)</x:f>
        <x:v>0.9880372755952381</x:v>
      </x:c>
      <x:c r="J14" s="2"/>
      <x:c r="K14" s="2"/>
      <x:c r="L14" s="2"/>
      <x:c r="M14" s="2"/>
      <x:c r="N14" s="2"/>
      <x:c r="O14" s="2"/>
      <x:c r="P14" s="2"/>
      <x:c r="Q14" s="2"/>
    </x:row>
    <x:row r="15" ht="25" customHeight="1">
      <x:c r="A15" s="10" t="d">
        <x:v>2025-03-01T00:00:00.000Z</x:v>
      </x:c>
      <x:c r="B15" s="13" t="n">
        <x:f>IF($B$5="All",SUMIFS('Monthly Data'!$E$6:$E$29,'Monthly Data'!$A$6:$A$29,$A15),SUMIFS('Monthly Data'!$E$6:$E$29,'Monthly Data'!$A$6:$A$29,$A15,'Monthly Data'!$B$6:$B$29,$B$5))</x:f>
        <x:v>278482.5829</x:v>
      </x:c>
      <x:c r="C15" s="13" t="n">
        <x:f>IF($B$5="All",SUMIFS('Monthly Data'!$D$6:$D$29,'Monthly Data'!$A$6:$A$29,$A15),SUMIFS('Monthly Data'!$D$6:$D$29,'Monthly Data'!$A$6:$A$29,$A15,'Monthly Data'!$B$6:$B$29,$B$5))</x:f>
        <x:v>13311</x:v>
      </x:c>
      <x:c r="D15" s="13" t="n">
        <x:f>IF($B$5="All",SUMIFS('Monthly Data'!$C$6:$C$29,'Monthly Data'!$A$6:$A$29,$A15),SUMIFS('Monthly Data'!$C$6:$C$29,'Monthly Data'!$A$6:$A$29,$A15,'Monthly Data'!$B$6:$B$29,$B$5))</x:f>
        <x:v>14065</x:v>
      </x:c>
      <x:c r="E15" s="13" t="n">
        <x:f>IF($B$5="All",SUMIFS('Monthly Data'!$I$6:$I$29,'Monthly Data'!$A$6:$A$29,$A15),SUMIFS('Monthly Data'!$I$6:$I$29,'Monthly Data'!$A$6:$A$29,$A15,'Monthly Data'!$B$6:$B$29,$B$5))</x:f>
        <x:v>91852.49705</x:v>
      </x:c>
      <x:c r="F15" s="13" t="n">
        <x:f>IF($B$5="All",SUMIFS('Monthly Data'!$H$6:$H$29,'Monthly Data'!$A$6:$A$29,$A15),SUMIFS('Monthly Data'!$H$6:$H$29,'Monthly Data'!$A$6:$A$29,$A15,'Monthly Data'!$B$6:$B$29,$B$5))</x:f>
        <x:v>93000</x:v>
      </x:c>
      <x:c r="G15" s="15" t="n">
        <x:f>IF($B$5="All",SUMIFS('Monthly Data'!$G$6:$G$29,'Monthly Data'!$A$6:$A$29,$A15),SUMIFS('Monthly Data'!$G$6:$G$29,'Monthly Data'!$A$6:$A$29,$A15,'Monthly Data'!$B$6:$B$29,$B$5))</x:f>
        <x:v>52824.93</x:v>
      </x:c>
      <x:c r="H15" s="19" t="n">
        <x:f>IF(D15=0,"n.a.",C15/D15)</x:f>
        <x:v>0.9463917525773196</x:v>
      </x:c>
      <x:c r="I15" s="19" t="n">
        <x:f>IF(F15=0,"n.a.",E15/F15)</x:f>
        <x:v>0.9876612586021506</x:v>
      </x:c>
      <x:c r="J15" s="2"/>
      <x:c r="K15" s="2"/>
      <x:c r="L15" s="2"/>
      <x:c r="M15" s="2"/>
      <x:c r="N15" s="2"/>
      <x:c r="O15" s="2"/>
      <x:c r="P15" s="2"/>
      <x:c r="Q15" s="2"/>
    </x:row>
    <x:row r="16" ht="25" customHeight="1">
      <x:c r="A16" s="10" t="d">
        <x:v>2025-04-01T00:00:00.000Z</x:v>
      </x:c>
      <x:c r="B16" s="13" t="n">
        <x:f>IF($B$5="All",SUMIFS('Monthly Data'!$E$6:$E$29,'Monthly Data'!$A$6:$A$29,$A16),SUMIFS('Monthly Data'!$E$6:$E$29,'Monthly Data'!$A$6:$A$29,$A16,'Monthly Data'!$B$6:$B$29,$B$5))</x:f>
        <x:v>254460.1856</x:v>
      </x:c>
      <x:c r="C16" s="13" t="n">
        <x:f>IF($B$5="All",SUMIFS('Monthly Data'!$D$6:$D$29,'Monthly Data'!$A$6:$A$29,$A16),SUMIFS('Monthly Data'!$D$6:$D$29,'Monthly Data'!$A$6:$A$29,$A16,'Monthly Data'!$B$6:$B$29,$B$5))</x:f>
        <x:v>12100</x:v>
      </x:c>
      <x:c r="D16" s="13" t="n">
        <x:f>IF($B$5="All",SUMIFS('Monthly Data'!$C$6:$C$29,'Monthly Data'!$A$6:$A$29,$A16),SUMIFS('Monthly Data'!$C$6:$C$29,'Monthly Data'!$A$6:$A$29,$A16,'Monthly Data'!$B$6:$B$29,$B$5))</x:f>
        <x:v>12791</x:v>
      </x:c>
      <x:c r="E16" s="13" t="n">
        <x:f>IF($B$5="All",SUMIFS('Monthly Data'!$I$6:$I$29,'Monthly Data'!$A$6:$A$29,$A16),SUMIFS('Monthly Data'!$I$6:$I$29,'Monthly Data'!$A$6:$A$29,$A16,'Monthly Data'!$B$6:$B$29,$B$5))</x:f>
        <x:v>88878.98914</x:v>
      </x:c>
      <x:c r="F16" s="13" t="n">
        <x:f>IF($B$5="All",SUMIFS('Monthly Data'!$H$6:$H$29,'Monthly Data'!$A$6:$A$29,$A16),SUMIFS('Monthly Data'!$H$6:$H$29,'Monthly Data'!$A$6:$A$29,$A16,'Monthly Data'!$B$6:$B$29,$B$5))</x:f>
        <x:v>90000</x:v>
      </x:c>
      <x:c r="G16" s="15" t="n">
        <x:f>IF($B$5="All",SUMIFS('Monthly Data'!$G$6:$G$29,'Monthly Data'!$A$6:$A$29,$A16),SUMIFS('Monthly Data'!$G$6:$G$29,'Monthly Data'!$A$6:$A$29,$A16,'Monthly Data'!$B$6:$B$29,$B$5))</x:f>
        <x:v>48081.5099</x:v>
      </x:c>
      <x:c r="H16" s="19" t="n">
        <x:f>IF(D16=0,"n.a.",C16/D16)</x:f>
        <x:v>0.9459776405284966</x:v>
      </x:c>
      <x:c r="I16" s="19" t="n">
        <x:f>IF(F16=0,"n.a.",E16/F16)</x:f>
        <x:v>0.9875443237777778</x:v>
      </x:c>
      <x:c r="J16" s="2"/>
      <x:c r="K16" s="2"/>
      <x:c r="L16" s="2"/>
      <x:c r="M16" s="2"/>
      <x:c r="N16" s="2"/>
      <x:c r="O16" s="2"/>
      <x:c r="P16" s="2"/>
      <x:c r="Q16" s="2"/>
    </x:row>
    <x:row r="17" ht="25" customHeight="1">
      <x:c r="A17" s="10" t="d">
        <x:v>2025-05-01T00:00:00.000Z</x:v>
      </x:c>
      <x:c r="B17" s="13" t="n">
        <x:f>IF($B$5="All",SUMIFS('Monthly Data'!$E$6:$E$29,'Monthly Data'!$A$6:$A$29,$A17),SUMIFS('Monthly Data'!$E$6:$E$29,'Monthly Data'!$A$6:$A$29,$A17,'Monthly Data'!$B$6:$B$29,$B$5))</x:f>
        <x:v>235826.4818</x:v>
      </x:c>
      <x:c r="C17" s="13" t="n">
        <x:f>IF($B$5="All",SUMIFS('Monthly Data'!$D$6:$D$29,'Monthly Data'!$A$6:$A$29,$A17),SUMIFS('Monthly Data'!$D$6:$D$29,'Monthly Data'!$A$6:$A$29,$A17,'Monthly Data'!$B$6:$B$29,$B$5))</x:f>
        <x:v>11269</x:v>
      </x:c>
      <x:c r="D17" s="13" t="n">
        <x:f>IF($B$5="All",SUMIFS('Monthly Data'!$C$6:$C$29,'Monthly Data'!$A$6:$A$29,$A17),SUMIFS('Monthly Data'!$C$6:$C$29,'Monthly Data'!$A$6:$A$29,$A17,'Monthly Data'!$B$6:$B$29,$B$5))</x:f>
        <x:v>11871</x:v>
      </x:c>
      <x:c r="E17" s="13" t="n">
        <x:f>IF($B$5="All",SUMIFS('Monthly Data'!$I$6:$I$29,'Monthly Data'!$A$6:$A$29,$A17),SUMIFS('Monthly Data'!$I$6:$I$29,'Monthly Data'!$A$6:$A$29,$A17,'Monthly Data'!$B$6:$B$29,$B$5))</x:f>
        <x:v>91928.87684</x:v>
      </x:c>
      <x:c r="F17" s="13" t="n">
        <x:f>IF($B$5="All",SUMIFS('Monthly Data'!$H$6:$H$29,'Monthly Data'!$A$6:$A$29,$A17),SUMIFS('Monthly Data'!$H$6:$H$29,'Monthly Data'!$A$6:$A$29,$A17,'Monthly Data'!$B$6:$B$29,$B$5))</x:f>
        <x:v>93000</x:v>
      </x:c>
      <x:c r="G17" s="15" t="n">
        <x:f>IF($B$5="All",SUMIFS('Monthly Data'!$G$6:$G$29,'Monthly Data'!$A$6:$A$29,$A17),SUMIFS('Monthly Data'!$G$6:$G$29,'Monthly Data'!$A$6:$A$29,$A17,'Monthly Data'!$B$6:$B$29,$B$5))</x:f>
        <x:v>43838.955500000004</x:v>
      </x:c>
      <x:c r="H17" s="19" t="n">
        <x:f>IF(D17=0,"n.a.",C17/D17)</x:f>
        <x:v>0.9492881812821161</x:v>
      </x:c>
      <x:c r="I17" s="19" t="n">
        <x:f>IF(F17=0,"n.a.",E17/F17)</x:f>
        <x:v>0.9884825466666667</x:v>
      </x:c>
      <x:c r="J17" s="2"/>
      <x:c r="K17" s="2"/>
      <x:c r="L17" s="2"/>
      <x:c r="M17" s="2"/>
      <x:c r="N17" s="2"/>
      <x:c r="O17" s="2"/>
      <x:c r="P17" s="2"/>
      <x:c r="Q17" s="2"/>
    </x:row>
    <x:row r="18" ht="25" customHeight="1">
      <x:c r="A18" s="10" t="d">
        <x:v>2025-06-01T00:00:00.000Z</x:v>
      </x:c>
      <x:c r="B18" s="13" t="n">
        <x:f>IF($B$5="All",SUMIFS('Monthly Data'!$E$6:$E$29,'Monthly Data'!$A$6:$A$29,$A18),SUMIFS('Monthly Data'!$E$6:$E$29,'Monthly Data'!$A$6:$A$29,$A18,'Monthly Data'!$B$6:$B$29,$B$5))</x:f>
        <x:v>202761.16439999998</x:v>
      </x:c>
      <x:c r="C18" s="13" t="n">
        <x:f>IF($B$5="All",SUMIFS('Monthly Data'!$D$6:$D$29,'Monthly Data'!$A$6:$A$29,$A18),SUMIFS('Monthly Data'!$D$6:$D$29,'Monthly Data'!$A$6:$A$29,$A18,'Monthly Data'!$B$6:$B$29,$B$5))</x:f>
        <x:v>9594</x:v>
      </x:c>
      <x:c r="D18" s="13" t="n">
        <x:f>IF($B$5="All",SUMIFS('Monthly Data'!$C$6:$C$29,'Monthly Data'!$A$6:$A$29,$A18),SUMIFS('Monthly Data'!$C$6:$C$29,'Monthly Data'!$A$6:$A$29,$A18,'Monthly Data'!$B$6:$B$29,$B$5))</x:f>
        <x:v>10124</x:v>
      </x:c>
      <x:c r="E18" s="13" t="n">
        <x:f>IF($B$5="All",SUMIFS('Monthly Data'!$I$6:$I$29,'Monthly Data'!$A$6:$A$29,$A18),SUMIFS('Monthly Data'!$I$6:$I$29,'Monthly Data'!$A$6:$A$29,$A18,'Monthly Data'!$B$6:$B$29,$B$5))</x:f>
        <x:v>89003.3983</x:v>
      </x:c>
      <x:c r="F18" s="13" t="n">
        <x:f>IF($B$5="All",SUMIFS('Monthly Data'!$H$6:$H$29,'Monthly Data'!$A$6:$A$29,$A18),SUMIFS('Monthly Data'!$H$6:$H$29,'Monthly Data'!$A$6:$A$29,$A18,'Monthly Data'!$B$6:$B$29,$B$5))</x:f>
        <x:v>90000</x:v>
      </x:c>
      <x:c r="G18" s="15" t="n">
        <x:f>IF($B$5="All",SUMIFS('Monthly Data'!$G$6:$G$29,'Monthly Data'!$A$6:$A$29,$A18),SUMIFS('Monthly Data'!$G$6:$G$29,'Monthly Data'!$A$6:$A$29,$A18,'Monthly Data'!$B$6:$B$29,$B$5))</x:f>
        <x:v>37028.4444</x:v>
      </x:c>
      <x:c r="H18" s="19" t="n">
        <x:f>IF(D18=0,"n.a.",C18/D18)</x:f>
        <x:v>0.947649150533386</x:v>
      </x:c>
      <x:c r="I18" s="19" t="n">
        <x:f>IF(F18=0,"n.a.",E18/F18)</x:f>
        <x:v>0.9889266477777778</x:v>
      </x:c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 t="str">
        <x:v>Month</x:v>
      </x:c>
      <x:c r="B22" s="2" t="str">
        <x:v>Delivered energy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f>TEXT(A13,"mmm yy")</x:f>
        <x:v>Jan 25</x:v>
      </x:c>
      <x:c r="B23" s="13" t="n">
        <x:f>B13</x:f>
        <x:v>253975.0303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 t="str">
        <x:f>TEXT(A14,"mmm yy")</x:f>
        <x:v>Feb 25</x:v>
      </x:c>
      <x:c r="B24" s="13" t="n">
        <x:f>B14</x:f>
        <x:v>244640.322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f>TEXT(A15,"mmm yy")</x:f>
        <x:v>Mar 25</x:v>
      </x:c>
      <x:c r="B25" s="13" t="n">
        <x:f>B15</x:f>
        <x:v>278482.5829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 t="str">
        <x:f>TEXT(A16,"mmm yy")</x:f>
        <x:v>Apr 25</x:v>
      </x:c>
      <x:c r="B26" s="13" t="n">
        <x:f>B16</x:f>
        <x:v>254460.1856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f>TEXT(A17,"mmm yy")</x:f>
        <x:v>May 25</x:v>
      </x:c>
      <x:c r="B27" s="13" t="n">
        <x:f>B17</x:f>
        <x:v>235826.4818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 t="str">
        <x:f>TEXT(A18,"mmm yy")</x:f>
        <x:v>Jun 25</x:v>
      </x:c>
      <x:c r="B28" s="13" t="n">
        <x:f>B18</x:f>
        <x:v>202761.16439999998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7" customHeight="1">
      <x:c r="A40" s="9" t="str">
        <x:v>Segment</x:v>
      </x:c>
      <x:c r="B40" s="9" t="str">
        <x:v>Delivered energy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v>Campus</x:v>
      </x:c>
      <x:c r="B41" s="13" t="n">
        <x:f>IF(A41="All",SUMIFS('Monthly Data'!$E$6:$E$29),SUMIFS('Monthly Data'!$E$6:$E$29,'Monthly Data'!$B$6:$B$29,A41))</x:f>
        <x:v>191237.8306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 t="str">
        <x:v>Commercial</x:v>
      </x:c>
      <x:c r="B42" s="13" t="n">
        <x:f>IF(A42="All",SUMIFS('Monthly Data'!$E$6:$E$29),SUMIFS('Monthly Data'!$E$6:$E$29,'Monthly Data'!$B$6:$B$29,A42))</x:f>
        <x:v>484409.61149999994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v>Highway</x:v>
      </x:c>
      <x:c r="B43" s="13" t="n">
        <x:f>IF(A43="All",SUMIFS('Monthly Data'!$E$6:$E$29),SUMIFS('Monthly Data'!$E$6:$E$29,'Monthly Data'!$B$6:$B$29,A43))</x:f>
        <x:v>534509.6394999999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 t="str">
        <x:v>Residential</x:v>
      </x:c>
      <x:c r="B44" s="13" t="n">
        <x:f>IF(A44="All",SUMIFS('Monthly Data'!$E$6:$E$29),SUMIFS('Monthly Data'!$E$6:$E$29,'Monthly Data'!$B$6:$B$29,A44))</x:f>
        <x:v>259988.68540000002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</x:sheetData>
  <x:dataValidations count="1">
    <x:dataValidation type="list" sqref="B5">
      <x:formula1>"All,Campus,Commercial,Highway,Residential"</x:formula1>
    </x:dataValidation>
  </x:dataValidations>
  <x:pageMargins left="0.7" right="0.7" top="0.75" bottom="0.75" header="0.3" footer="0.3"/>
  <x:drawing xmlns:r="http://schemas.openxmlformats.org/officeDocument/2006/relationships" r:id="Rb10d2ac6819141c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Monthly source data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4" t="str">
        <x:v>Source: outputs/monthly_kpis.csv. Synthetic data. One row per month and segment.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40" customHeight="1">
      <x:c r="A5" s="12" t="str">
        <x:v>month</x:v>
      </x:c>
      <x:c r="B5" s="12" t="str">
        <x:v>segment</x:v>
      </x:c>
      <x:c r="C5" s="12" t="str">
        <x:v>sessions</x:v>
      </x:c>
      <x:c r="D5" s="12" t="str">
        <x:v>successes</x:v>
      </x:c>
      <x:c r="E5" s="12" t="str">
        <x:v>energy_kwh</x:v>
      </x:c>
      <x:c r="F5" s="12" t="str">
        <x:v>revenue</x:v>
      </x:c>
      <x:c r="G5" s="12" t="str">
        <x:v>contribution</x:v>
      </x:c>
      <x:c r="H5" s="12" t="str">
        <x:v>planned_hours</x:v>
      </x:c>
      <x:c r="I5" s="12" t="str">
        <x:v>available_hours</x:v>
      </x:c>
      <x:c r="J5" s="12" t="str">
        <x:v>occupied_hours</x:v>
      </x:c>
    </x:row>
    <x:row r="6" ht="22" customHeight="1">
      <x:c r="A6" s="10" t="d">
        <x:v>2025-01-01T00:00:00.000Z</x:v>
      </x:c>
      <x:c r="B6" s="2" t="str">
        <x:v>Campus</x:v>
      </x:c>
      <x:c r="C6" s="13" t="n">
        <x:v>1573</x:v>
      </x:c>
      <x:c r="D6" s="13" t="n">
        <x:v>1523</x:v>
      </x:c>
      <x:c r="E6" s="14" t="n">
        <x:v>32649.3899</x:v>
      </x:c>
      <x:c r="F6" s="15" t="n">
        <x:v>8815.3347</x:v>
      </x:c>
      <x:c r="G6" s="15" t="n">
        <x:v>1474.9944</x:v>
      </x:c>
      <x:c r="H6" s="14" t="n">
        <x:v>21576</x:v>
      </x:c>
      <x:c r="I6" s="14" t="n">
        <x:v>21361.41254</x:v>
      </x:c>
      <x:c r="J6" s="14" t="n">
        <x:v>1317.77312</x:v>
      </x:c>
    </x:row>
    <x:row r="7" ht="22" customHeight="1">
      <x:c r="A7" s="10" t="d">
        <x:v>2025-01-01T00:00:00.000Z</x:v>
      </x:c>
      <x:c r="B7" s="2" t="str">
        <x:v>Commercial</x:v>
      </x:c>
      <x:c r="C7" s="13" t="n">
        <x:v>4137</x:v>
      </x:c>
      <x:c r="D7" s="13" t="n">
        <x:v>3996</x:v>
      </x:c>
      <x:c r="E7" s="14" t="n">
        <x:v>83989.2449</x:v>
      </x:c>
      <x:c r="F7" s="15" t="n">
        <x:v>32755.8073</x:v>
      </x:c>
      <x:c r="G7" s="15" t="n">
        <x:v>16068.2009</x:v>
      </x:c>
      <x:c r="H7" s="14" t="n">
        <x:v>26040</x:v>
      </x:c>
      <x:c r="I7" s="14" t="n">
        <x:v>25790.72445</x:v>
      </x:c>
      <x:c r="J7" s="14" t="n">
        <x:v>2997.4268</x:v>
      </x:c>
    </x:row>
    <x:row r="8" ht="22" customHeight="1">
      <x:c r="A8" s="10" t="d">
        <x:v>2025-01-01T00:00:00.000Z</x:v>
      </x:c>
      <x:c r="B8" s="2" t="str">
        <x:v>Highway</x:v>
      </x:c>
      <x:c r="C8" s="13" t="n">
        <x:v>4741</x:v>
      </x:c>
      <x:c r="D8" s="13" t="n">
        <x:v>4373</x:v>
      </x:c>
      <x:c r="E8" s="14" t="n">
        <x:v>91727.0601</x:v>
      </x:c>
      <x:c r="F8" s="15" t="n">
        <x:v>44028.9885</x:v>
      </x:c>
      <x:c r="G8" s="15" t="n">
        <x:v>26179.5762</x:v>
      </x:c>
      <x:c r="H8" s="14" t="n">
        <x:v>23064</x:v>
      </x:c>
      <x:c r="I8" s="14" t="n">
        <x:v>22660.80184</x:v>
      </x:c>
      <x:c r="J8" s="14" t="n">
        <x:v>5014.87938</x:v>
      </x:c>
    </x:row>
    <x:row r="9" ht="22" customHeight="1">
      <x:c r="A9" s="10" t="d">
        <x:v>2025-01-01T00:00:00.000Z</x:v>
      </x:c>
      <x:c r="B9" s="2" t="str">
        <x:v>Residential</x:v>
      </x:c>
      <x:c r="C9" s="13" t="n">
        <x:v>2232</x:v>
      </x:c>
      <x:c r="D9" s="13" t="n">
        <x:v>2170</x:v>
      </x:c>
      <x:c r="E9" s="14" t="n">
        <x:v>45609.3354</x:v>
      </x:c>
      <x:c r="F9" s="15" t="n">
        <x:v>13682.8008</x:v>
      </x:c>
      <x:c r="G9" s="15" t="n">
        <x:v>3975.8261</x:v>
      </x:c>
      <x:c r="H9" s="14" t="n">
        <x:v>22320</x:v>
      </x:c>
      <x:c r="I9" s="14" t="n">
        <x:v>22105.16254</x:v>
      </x:c>
      <x:c r="J9" s="14" t="n">
        <x:v>2093.29974</x:v>
      </x:c>
    </x:row>
    <x:row r="10" ht="22" customHeight="1">
      <x:c r="A10" s="10" t="d">
        <x:v>2025-02-01T00:00:00.000Z</x:v>
      </x:c>
      <x:c r="B10" s="2" t="str">
        <x:v>Campus</x:v>
      </x:c>
      <x:c r="C10" s="13" t="n">
        <x:v>1586</x:v>
      </x:c>
      <x:c r="D10" s="13" t="n">
        <x:v>1531</x:v>
      </x:c>
      <x:c r="E10" s="14" t="n">
        <x:v>31603.7431</x:v>
      </x:c>
      <x:c r="F10" s="15" t="n">
        <x:v>8533.0102</x:v>
      </x:c>
      <x:c r="G10" s="15" t="n">
        <x:v>1511.8859</x:v>
      </x:c>
      <x:c r="H10" s="14" t="n">
        <x:v>19488</x:v>
      </x:c>
      <x:c r="I10" s="14" t="n">
        <x:v>19275.5623</x:v>
      </x:c>
      <x:c r="J10" s="14" t="n">
        <x:v>1254.61856</x:v>
      </x:c>
    </x:row>
    <x:row r="11" ht="22" customHeight="1">
      <x:c r="A11" s="10" t="d">
        <x:v>2025-02-01T00:00:00.000Z</x:v>
      </x:c>
      <x:c r="B11" s="2" t="str">
        <x:v>Commercial</x:v>
      </x:c>
      <x:c r="C11" s="13" t="n">
        <x:v>3959</x:v>
      </x:c>
      <x:c r="D11" s="13" t="n">
        <x:v>3805</x:v>
      </x:c>
      <x:c r="E11" s="14" t="n">
        <x:v>80758.6207</x:v>
      </x:c>
      <x:c r="F11" s="15" t="n">
        <x:v>31495.8631</x:v>
      </x:c>
      <x:c r="G11" s="15" t="n">
        <x:v>15532.1103</x:v>
      </x:c>
      <x:c r="H11" s="14" t="n">
        <x:v>23520</x:v>
      </x:c>
      <x:c r="I11" s="14" t="n">
        <x:v>23287.26447</x:v>
      </x:c>
      <x:c r="J11" s="14" t="n">
        <x:v>2934.83103</x:v>
      </x:c>
    </x:row>
    <x:row r="12" ht="22" customHeight="1">
      <x:c r="A12" s="10" t="d">
        <x:v>2025-02-01T00:00:00.000Z</x:v>
      </x:c>
      <x:c r="B12" s="2" t="str">
        <x:v>Highway</x:v>
      </x:c>
      <x:c r="C12" s="13" t="n">
        <x:v>4646</x:v>
      </x:c>
      <x:c r="D12" s="13" t="n">
        <x:v>4291</x:v>
      </x:c>
      <x:c r="E12" s="14" t="n">
        <x:v>90293.3694</x:v>
      </x:c>
      <x:c r="F12" s="15" t="n">
        <x:v>43340.8151</x:v>
      </x:c>
      <x:c r="G12" s="15" t="n">
        <x:v>25899.1695</x:v>
      </x:c>
      <x:c r="H12" s="14" t="n">
        <x:v>20832</x:v>
      </x:c>
      <x:c r="I12" s="14" t="n">
        <x:v>20473.17734</x:v>
      </x:c>
      <x:c r="J12" s="14" t="n">
        <x:v>4912.08516</x:v>
      </x:c>
    </x:row>
    <x:row r="13" ht="22" customHeight="1">
      <x:c r="A13" s="10" t="d">
        <x:v>2025-02-01T00:00:00.000Z</x:v>
      </x:c>
      <x:c r="B13" s="2" t="str">
        <x:v>Residential</x:v>
      </x:c>
      <x:c r="C13" s="13" t="n">
        <x:v>2106</x:v>
      </x:c>
      <x:c r="D13" s="13" t="n">
        <x:v>2027</x:v>
      </x:c>
      <x:c r="E13" s="14" t="n">
        <x:v>41984.5888</x:v>
      </x:c>
      <x:c r="F13" s="15" t="n">
        <x:v>12595.3793</x:v>
      </x:c>
      <x:c r="G13" s="15" t="n">
        <x:v>3745.5361</x:v>
      </x:c>
      <x:c r="H13" s="14" t="n">
        <x:v>20160</x:v>
      </x:c>
      <x:c r="I13" s="14" t="n">
        <x:v>19959.12704</x:v>
      </x:c>
      <x:c r="J13" s="14" t="n">
        <x:v>1883.28084</x:v>
      </x:c>
    </x:row>
    <x:row r="14" ht="22" customHeight="1">
      <x:c r="A14" s="10" t="d">
        <x:v>2025-03-01T00:00:00.000Z</x:v>
      </x:c>
      <x:c r="B14" s="2" t="str">
        <x:v>Campus</x:v>
      </x:c>
      <x:c r="C14" s="13" t="n">
        <x:v>1847</x:v>
      </x:c>
      <x:c r="D14" s="13" t="n">
        <x:v>1768</x:v>
      </x:c>
      <x:c r="E14" s="14" t="n">
        <x:v>36884.8001</x:v>
      </x:c>
      <x:c r="F14" s="15" t="n">
        <x:v>9958.8956</x:v>
      </x:c>
      <x:c r="G14" s="15" t="n">
        <x:v>1819.6285</x:v>
      </x:c>
      <x:c r="H14" s="14" t="n">
        <x:v>21576</x:v>
      </x:c>
      <x:c r="I14" s="14" t="n">
        <x:v>21340.79766</x:v>
      </x:c>
      <x:c r="J14" s="14" t="n">
        <x:v>1469.49793</x:v>
      </x:c>
    </x:row>
    <x:row r="15" ht="22" customHeight="1">
      <x:c r="A15" s="10" t="d">
        <x:v>2025-03-01T00:00:00.000Z</x:v>
      </x:c>
      <x:c r="B15" s="2" t="str">
        <x:v>Commercial</x:v>
      </x:c>
      <x:c r="C15" s="13" t="n">
        <x:v>4557</x:v>
      </x:c>
      <x:c r="D15" s="13" t="n">
        <x:v>4390</x:v>
      </x:c>
      <x:c r="E15" s="14" t="n">
        <x:v>91075.6492</x:v>
      </x:c>
      <x:c r="F15" s="15" t="n">
        <x:v>35519.507</x:v>
      </x:c>
      <x:c r="G15" s="15" t="n">
        <x:v>17565.9286</x:v>
      </x:c>
      <x:c r="H15" s="14" t="n">
        <x:v>26040</x:v>
      </x:c>
      <x:c r="I15" s="14" t="n">
        <x:v>25795.62954</x:v>
      </x:c>
      <x:c r="J15" s="14" t="n">
        <x:v>3310.37502</x:v>
      </x:c>
    </x:row>
    <x:row r="16" ht="22" customHeight="1">
      <x:c r="A16" s="10" t="d">
        <x:v>2025-03-01T00:00:00.000Z</x:v>
      </x:c>
      <x:c r="B16" s="2" t="str">
        <x:v>Highway</x:v>
      </x:c>
      <x:c r="C16" s="13" t="n">
        <x:v>5174</x:v>
      </x:c>
      <x:c r="D16" s="13" t="n">
        <x:v>4762</x:v>
      </x:c>
      <x:c r="E16" s="14" t="n">
        <x:v>100493.715</x:v>
      </x:c>
      <x:c r="F16" s="15" t="n">
        <x:v>48236.9841</x:v>
      </x:c>
      <x:c r="G16" s="15" t="n">
        <x:v>28876.7282</x:v>
      </x:c>
      <x:c r="H16" s="14" t="n">
        <x:v>23064</x:v>
      </x:c>
      <x:c r="I16" s="14" t="n">
        <x:v>22641.40589</x:v>
      </x:c>
      <x:c r="J16" s="14" t="n">
        <x:v>5490.65672</x:v>
      </x:c>
    </x:row>
    <x:row r="17" ht="22" customHeight="1">
      <x:c r="A17" s="10" t="d">
        <x:v>2025-03-01T00:00:00.000Z</x:v>
      </x:c>
      <x:c r="B17" s="2" t="str">
        <x:v>Residential</x:v>
      </x:c>
      <x:c r="C17" s="13" t="n">
        <x:v>2487</x:v>
      </x:c>
      <x:c r="D17" s="13" t="n">
        <x:v>2391</x:v>
      </x:c>
      <x:c r="E17" s="14" t="n">
        <x:v>50028.4186</x:v>
      </x:c>
      <x:c r="F17" s="15" t="n">
        <x:v>15008.5253</x:v>
      </x:c>
      <x:c r="G17" s="15" t="n">
        <x:v>4562.6447</x:v>
      </x:c>
      <x:c r="H17" s="14" t="n">
        <x:v>22320</x:v>
      </x:c>
      <x:c r="I17" s="14" t="n">
        <x:v>22074.66396</x:v>
      </x:c>
      <x:c r="J17" s="14" t="n">
        <x:v>2286.15517</x:v>
      </x:c>
    </x:row>
    <x:row r="18" ht="22" customHeight="1">
      <x:c r="A18" s="10" t="d">
        <x:v>2025-04-01T00:00:00.000Z</x:v>
      </x:c>
      <x:c r="B18" s="2" t="str">
        <x:v>Campus</x:v>
      </x:c>
      <x:c r="C18" s="13" t="n">
        <x:v>1632</x:v>
      </x:c>
      <x:c r="D18" s="13" t="n">
        <x:v>1580</x:v>
      </x:c>
      <x:c r="E18" s="14" t="n">
        <x:v>32940.5211</x:v>
      </x:c>
      <x:c r="F18" s="15" t="n">
        <x:v>8893.9425</x:v>
      </x:c>
      <x:c r="G18" s="15" t="n">
        <x:v>1553.0198</x:v>
      </x:c>
      <x:c r="H18" s="14" t="n">
        <x:v>20880</x:v>
      </x:c>
      <x:c r="I18" s="14" t="n">
        <x:v>20713.35099</x:v>
      </x:c>
      <x:c r="J18" s="14" t="n">
        <x:v>1298.10478</x:v>
      </x:c>
    </x:row>
    <x:row r="19" ht="22" customHeight="1">
      <x:c r="A19" s="10" t="d">
        <x:v>2025-04-01T00:00:00.000Z</x:v>
      </x:c>
      <x:c r="B19" s="2" t="str">
        <x:v>Commercial</x:v>
      </x:c>
      <x:c r="C19" s="13" t="n">
        <x:v>4141</x:v>
      </x:c>
      <x:c r="D19" s="13" t="n">
        <x:v>3991</x:v>
      </x:c>
      <x:c r="E19" s="14" t="n">
        <x:v>83855.0336</x:v>
      </x:c>
      <x:c r="F19" s="15" t="n">
        <x:v>32703.4619</x:v>
      </x:c>
      <x:c r="G19" s="15" t="n">
        <x:v>16098.0793</x:v>
      </x:c>
      <x:c r="H19" s="14" t="n">
        <x:v>25200</x:v>
      </x:c>
      <x:c r="I19" s="14" t="n">
        <x:v>24992.49245</x:v>
      </x:c>
      <x:c r="J19" s="14" t="n">
        <x:v>3037.3045</x:v>
      </x:c>
    </x:row>
    <x:row r="20" ht="22" customHeight="1">
      <x:c r="A20" s="10" t="d">
        <x:v>2025-04-01T00:00:00.000Z</x:v>
      </x:c>
      <x:c r="B20" s="2" t="str">
        <x:v>Highway</x:v>
      </x:c>
      <x:c r="C20" s="13" t="n">
        <x:v>4753</x:v>
      </x:c>
      <x:c r="D20" s="13" t="n">
        <x:v>4363</x:v>
      </x:c>
      <x:c r="E20" s="14" t="n">
        <x:v>92709.009</x:v>
      </x:c>
      <x:c r="F20" s="15" t="n">
        <x:v>44500.3237</x:v>
      </x:c>
      <x:c r="G20" s="15" t="n">
        <x:v>26508.2442</x:v>
      </x:c>
      <x:c r="H20" s="14" t="n">
        <x:v>22320</x:v>
      </x:c>
      <x:c r="I20" s="14" t="n">
        <x:v>21825.92678</x:v>
      </x:c>
      <x:c r="J20" s="14" t="n">
        <x:v>5119.36394</x:v>
      </x:c>
    </x:row>
    <x:row r="21" ht="22" customHeight="1">
      <x:c r="A21" s="10" t="d">
        <x:v>2025-04-01T00:00:00.000Z</x:v>
      </x:c>
      <x:c r="B21" s="2" t="str">
        <x:v>Residential</x:v>
      </x:c>
      <x:c r="C21" s="13" t="n">
        <x:v>2265</x:v>
      </x:c>
      <x:c r="D21" s="13" t="n">
        <x:v>2166</x:v>
      </x:c>
      <x:c r="E21" s="14" t="n">
        <x:v>44955.6219</x:v>
      </x:c>
      <x:c r="F21" s="15" t="n">
        <x:v>13486.6857</x:v>
      </x:c>
      <x:c r="G21" s="15" t="n">
        <x:v>3922.1666</x:v>
      </x:c>
      <x:c r="H21" s="14" t="n">
        <x:v>21600</x:v>
      </x:c>
      <x:c r="I21" s="14" t="n">
        <x:v>21347.21892</x:v>
      </x:c>
      <x:c r="J21" s="14" t="n">
        <x:v>2017.39552</x:v>
      </x:c>
    </x:row>
    <x:row r="22" ht="22" customHeight="1">
      <x:c r="A22" s="10" t="d">
        <x:v>2025-05-01T00:00:00.000Z</x:v>
      </x:c>
      <x:c r="B22" s="2" t="str">
        <x:v>Campus</x:v>
      </x:c>
      <x:c r="C22" s="13" t="n">
        <x:v>1519</x:v>
      </x:c>
      <x:c r="D22" s="13" t="n">
        <x:v>1465</x:v>
      </x:c>
      <x:c r="E22" s="14" t="n">
        <x:v>30254.2137</x:v>
      </x:c>
      <x:c r="F22" s="15" t="n">
        <x:v>8168.6398</x:v>
      </x:c>
      <x:c r="G22" s="15" t="n">
        <x:v>1219.7008</x:v>
      </x:c>
      <x:c r="H22" s="14" t="n">
        <x:v>21576</x:v>
      </x:c>
      <x:c r="I22" s="14" t="n">
        <x:v>21374.06558</x:v>
      </x:c>
      <x:c r="J22" s="14" t="n">
        <x:v>1211.85748</x:v>
      </x:c>
    </x:row>
    <x:row r="23" ht="22" customHeight="1">
      <x:c r="A23" s="10" t="d">
        <x:v>2025-05-01T00:00:00.000Z</x:v>
      </x:c>
      <x:c r="B23" s="2" t="str">
        <x:v>Commercial</x:v>
      </x:c>
      <x:c r="C23" s="13" t="n">
        <x:v>3869</x:v>
      </x:c>
      <x:c r="D23" s="13" t="n">
        <x:v>3740</x:v>
      </x:c>
      <x:c r="E23" s="14" t="n">
        <x:v>77987.3429</x:v>
      </x:c>
      <x:c r="F23" s="15" t="n">
        <x:v>30415.0646</x:v>
      </x:c>
      <x:c r="G23" s="15" t="n">
        <x:v>14835.2013</x:v>
      </x:c>
      <x:c r="H23" s="14" t="n">
        <x:v>26040</x:v>
      </x:c>
      <x:c r="I23" s="14" t="n">
        <x:v>25827.11519</x:v>
      </x:c>
      <x:c r="J23" s="14" t="n">
        <x:v>2736.63537</x:v>
      </x:c>
    </x:row>
    <x:row r="24" ht="22" customHeight="1">
      <x:c r="A24" s="10" t="d">
        <x:v>2025-05-01T00:00:00.000Z</x:v>
      </x:c>
      <x:c r="B24" s="2" t="str">
        <x:v>Highway</x:v>
      </x:c>
      <x:c r="C24" s="13" t="n">
        <x:v>4413</x:v>
      </x:c>
      <x:c r="D24" s="13" t="n">
        <x:v>4070</x:v>
      </x:c>
      <x:c r="E24" s="14" t="n">
        <x:v>85305.0887</x:v>
      </x:c>
      <x:c r="F24" s="15" t="n">
        <x:v>40946.4429</x:v>
      </x:c>
      <x:c r="G24" s="15" t="n">
        <x:v>24251.2976</x:v>
      </x:c>
      <x:c r="H24" s="14" t="n">
        <x:v>23064</x:v>
      </x:c>
      <x:c r="I24" s="14" t="n">
        <x:v>22620.29146</x:v>
      </x:c>
      <x:c r="J24" s="14" t="n">
        <x:v>4772.99266</x:v>
      </x:c>
    </x:row>
    <x:row r="25" ht="22" customHeight="1">
      <x:c r="A25" s="10" t="d">
        <x:v>2025-05-01T00:00:00.000Z</x:v>
      </x:c>
      <x:c r="B25" s="2" t="str">
        <x:v>Residential</x:v>
      </x:c>
      <x:c r="C25" s="13" t="n">
        <x:v>2070</x:v>
      </x:c>
      <x:c r="D25" s="13" t="n">
        <x:v>1994</x:v>
      </x:c>
      <x:c r="E25" s="14" t="n">
        <x:v>42279.8365</x:v>
      </x:c>
      <x:c r="F25" s="15" t="n">
        <x:v>12683.9513</x:v>
      </x:c>
      <x:c r="G25" s="15" t="n">
        <x:v>3532.7558</x:v>
      </x:c>
      <x:c r="H25" s="14" t="n">
        <x:v>22320</x:v>
      </x:c>
      <x:c r="I25" s="14" t="n">
        <x:v>22107.40461</x:v>
      </x:c>
      <x:c r="J25" s="14" t="n">
        <x:v>1895.61799</x:v>
      </x:c>
    </x:row>
    <x:row r="26" ht="22" customHeight="1">
      <x:c r="A26" s="10" t="d">
        <x:v>2025-06-01T00:00:00.000Z</x:v>
      </x:c>
      <x:c r="B26" s="2" t="str">
        <x:v>Campus</x:v>
      </x:c>
      <x:c r="C26" s="13" t="n">
        <x:v>1317</x:v>
      </x:c>
      <x:c r="D26" s="13" t="n">
        <x:v>1271</x:v>
      </x:c>
      <x:c r="E26" s="14" t="n">
        <x:v>26905.1627</x:v>
      </x:c>
      <x:c r="F26" s="15" t="n">
        <x:v>7264.3933</x:v>
      </x:c>
      <x:c r="G26" s="15" t="n">
        <x:v>976.7147</x:v>
      </x:c>
      <x:c r="H26" s="14" t="n">
        <x:v>20880</x:v>
      </x:c>
      <x:c r="I26" s="14" t="n">
        <x:v>20657.00257</x:v>
      </x:c>
      <x:c r="J26" s="14" t="n">
        <x:v>1070.22584</x:v>
      </x:c>
    </x:row>
    <x:row r="27" ht="22" customHeight="1">
      <x:c r="A27" s="10" t="d">
        <x:v>2025-06-01T00:00:00.000Z</x:v>
      </x:c>
      <x:c r="B27" s="2" t="str">
        <x:v>Commercial</x:v>
      </x:c>
      <x:c r="C27" s="13" t="n">
        <x:v>3273</x:v>
      </x:c>
      <x:c r="D27" s="13" t="n">
        <x:v>3173</x:v>
      </x:c>
      <x:c r="E27" s="14" t="n">
        <x:v>66743.7202</x:v>
      </x:c>
      <x:c r="F27" s="15" t="n">
        <x:v>26030.0499</x:v>
      </x:c>
      <x:c r="G27" s="15" t="n">
        <x:v>12411.8713</x:v>
      </x:c>
      <x:c r="H27" s="14" t="n">
        <x:v>25200</x:v>
      </x:c>
      <x:c r="I27" s="14" t="n">
        <x:v>25016.30896</x:v>
      </x:c>
      <x:c r="J27" s="14" t="n">
        <x:v>2522.70227</x:v>
      </x:c>
    </x:row>
    <x:row r="28" ht="22" customHeight="1">
      <x:c r="A28" s="10" t="d">
        <x:v>2025-06-01T00:00:00.000Z</x:v>
      </x:c>
      <x:c r="B28" s="2" t="str">
        <x:v>Highway</x:v>
      </x:c>
      <x:c r="C28" s="13" t="n">
        <x:v>3816</x:v>
      </x:c>
      <x:c r="D28" s="13" t="n">
        <x:v>3487</x:v>
      </x:c>
      <x:c r="E28" s="14" t="n">
        <x:v>73981.3973</x:v>
      </x:c>
      <x:c r="F28" s="15" t="n">
        <x:v>35511.0684</x:v>
      </x:c>
      <x:c r="G28" s="15" t="n">
        <x:v>20848.985</x:v>
      </x:c>
      <x:c r="H28" s="14" t="n">
        <x:v>22320</x:v>
      </x:c>
      <x:c r="I28" s="14" t="n">
        <x:v>21951.82998</x:v>
      </x:c>
      <x:c r="J28" s="14" t="n">
        <x:v>4060.85067</x:v>
      </x:c>
    </x:row>
    <x:row r="29" ht="22" customHeight="1">
      <x:c r="A29" s="10" t="d">
        <x:v>2025-06-01T00:00:00.000Z</x:v>
      </x:c>
      <x:c r="B29" s="2" t="str">
        <x:v>Residential</x:v>
      </x:c>
      <x:c r="C29" s="13" t="n">
        <x:v>1718</x:v>
      </x:c>
      <x:c r="D29" s="13" t="n">
        <x:v>1663</x:v>
      </x:c>
      <x:c r="E29" s="14" t="n">
        <x:v>35130.8842</x:v>
      </x:c>
      <x:c r="F29" s="15" t="n">
        <x:v>10539.2664</x:v>
      </x:c>
      <x:c r="G29" s="15" t="n">
        <x:v>2790.8734</x:v>
      </x:c>
      <x:c r="H29" s="14" t="n">
        <x:v>21600</x:v>
      </x:c>
      <x:c r="I29" s="14" t="n">
        <x:v>21378.25679</x:v>
      </x:c>
      <x:c r="J29" s="14" t="n">
        <x:v>1569.18003</x:v>
      </x:c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pageMargins left="0.7" right="0.7" top="0.75" bottom="0.75" header="0.3" footer="0.3"/>
  <x:tableParts count="1">
    <x:tablePart xmlns:r="http://schemas.openxmlformats.org/officeDocument/2006/relationships" r:id="R243e9cc06f8a48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Capacity expansion lab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Source: outputs/station_priorities.csv. Scenario assumes recovered demand; it does not measure it.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6"/>
      <x:c r="P4" s="6"/>
      <x:c r="Q4" s="6"/>
    </x:row>
    <x:row r="5" ht="27" customHeight="1">
      <x:c r="A5" s="9" t="str">
        <x:v>Scenario inputs</x:v>
      </x:c>
      <x:c r="B5" s="9" t="str">
        <x:v>Value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 t="str">
        <x:v>Added connectors</x:v>
      </x:c>
      <x:c r="B6" s="16" t="n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2" customHeight="1">
      <x:c r="A7" s="2" t="str">
        <x:v>Recovered demand</x:v>
      </x:c>
      <x:c r="B7" s="24" t="n">
        <x:v>0.1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2" customHeight="1">
      <x:c r="A8" s="2" t="str">
        <x:v>USD per port-day</x:v>
      </x:c>
      <x:c r="B8" s="16" t="n">
        <x:v>1.8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 t="str">
        <x:v>Operating days</x:v>
      </x:c>
      <x:c r="B9" s="16" t="n">
        <x:v>181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8" customHeight="1">
      <x:c r="A12" s="12" t="str">
        <x:v>Station</x:v>
      </x:c>
      <x:c r="B12" s="12" t="str">
        <x:v>Zone</x:v>
      </x:c>
      <x:c r="C12" s="12" t="str">
        <x:v>Baseline kWh</x:v>
      </x:c>
      <x:c r="D12" s="12" t="str">
        <x:v>Energy margin USD</x:v>
      </x:c>
      <x:c r="E12" s="12" t="str">
        <x:v>Added kWh</x:v>
      </x:c>
      <x:c r="F12" s="12" t="str">
        <x:v>Added fixed cost USD</x:v>
      </x:c>
      <x:c r="G12" s="12" t="str">
        <x:v>Incremental profit USD</x:v>
      </x:c>
      <x:c r="H12" s="2"/>
      <x:c r="I12" s="2"/>
      <x:c r="J12" s="2"/>
      <x:c r="K12" s="2"/>
      <x:c r="L12" s="2"/>
      <x:c r="M12" s="2"/>
      <x:c r="N12" s="2"/>
    </x:row>
    <x:row r="13" ht="22" customHeight="1">
      <x:c r="A13" s="2" t="n">
        <x:v>18</x:v>
      </x:c>
      <x:c r="B13" s="2" t="str">
        <x:v>Highway</x:v>
      </x:c>
      <x:c r="C13" s="13" t="n">
        <x:v>70701.265</x:v>
      </x:c>
      <x:c r="D13" s="15" t="n">
        <x:v>21446.0104</x:v>
      </x:c>
      <x:c r="E13" s="13" t="n">
        <x:f>C13*$B$7</x:f>
        <x:v>7070.1265</x:v>
      </x:c>
      <x:c r="F13" s="15" t="n">
        <x:f>$B$6*$B$8*$B$9</x:f>
        <x:v>651.6</x:v>
      </x:c>
      <x:c r="G13" s="15" t="n">
        <x:f>E13*(D13/C13)-F13</x:f>
        <x:v>1493.00104</x:v>
      </x:c>
      <x:c r="H13" s="2"/>
      <x:c r="I13" s="2"/>
      <x:c r="J13" s="2"/>
      <x:c r="K13" s="2"/>
      <x:c r="L13" s="2"/>
      <x:c r="M13" s="2"/>
      <x:c r="N13" s="2"/>
    </x:row>
    <x:row r="14" ht="22" customHeight="1">
      <x:c r="A14" s="2" t="n">
        <x:v>17</x:v>
      </x:c>
      <x:c r="B14" s="2" t="str">
        <x:v>Highway</x:v>
      </x:c>
      <x:c r="C14" s="13" t="n">
        <x:v>137699.991</x:v>
      </x:c>
      <x:c r="D14" s="15" t="n">
        <x:v>41819.6639</x:v>
      </x:c>
      <x:c r="E14" s="13" t="n">
        <x:f>C14*$B$7</x:f>
        <x:v>13769.9991</x:v>
      </x:c>
      <x:c r="F14" s="15" t="n">
        <x:f>$B$6*$B$8*$B$9</x:f>
        <x:v>651.6</x:v>
      </x:c>
      <x:c r="G14" s="15" t="n">
        <x:f>E14*(D14/C14)-F14</x:f>
        <x:v>3530.3663899999997</x:v>
      </x:c>
      <x:c r="H14" s="2"/>
      <x:c r="I14" s="2"/>
      <x:c r="J14" s="2"/>
      <x:c r="K14" s="2"/>
      <x:c r="L14" s="2"/>
      <x:c r="M14" s="2"/>
      <x:c r="N14" s="2"/>
    </x:row>
    <x:row r="15" ht="22" customHeight="1">
      <x:c r="A15" s="2" t="n">
        <x:v>14</x:v>
      </x:c>
      <x:c r="B15" s="2" t="str">
        <x:v>Highway</x:v>
      </x:c>
      <x:c r="C15" s="13" t="n">
        <x:v>86037.1715</x:v>
      </x:c>
      <x:c r="D15" s="15" t="n">
        <x:v>26222.4407</x:v>
      </x:c>
      <x:c r="E15" s="13" t="n">
        <x:f>C15*$B$7</x:f>
        <x:v>8603.71715</x:v>
      </x:c>
      <x:c r="F15" s="15" t="n">
        <x:f>$B$6*$B$8*$B$9</x:f>
        <x:v>651.6</x:v>
      </x:c>
      <x:c r="G15" s="15" t="n">
        <x:f>E15*(D15/C15)-F15</x:f>
        <x:v>1970.6440700000003</x:v>
      </x:c>
      <x:c r="H15" s="2"/>
      <x:c r="I15" s="2"/>
      <x:c r="J15" s="2"/>
      <x:c r="K15" s="2"/>
      <x:c r="L15" s="2"/>
      <x:c r="M15" s="2"/>
      <x:c r="N15" s="2"/>
    </x:row>
    <x:row r="16" ht="22" customHeight="1">
      <x:c r="A16" s="2" t="n">
        <x:v>15</x:v>
      </x:c>
      <x:c r="B16" s="2" t="str">
        <x:v>Highway</x:v>
      </x:c>
      <x:c r="C16" s="13" t="n">
        <x:v>50006.9947</x:v>
      </x:c>
      <x:c r="D16" s="15" t="n">
        <x:v>15234.828</x:v>
      </x:c>
      <x:c r="E16" s="13" t="n">
        <x:f>C16*$B$7</x:f>
        <x:v>5000.6994700000005</x:v>
      </x:c>
      <x:c r="F16" s="15" t="n">
        <x:f>$B$6*$B$8*$B$9</x:f>
        <x:v>651.6</x:v>
      </x:c>
      <x:c r="G16" s="15" t="n">
        <x:f>E16*(D16/C16)-F16</x:f>
        <x:v>871.8827999999997</x:v>
      </x:c>
      <x:c r="H16" s="2"/>
      <x:c r="I16" s="2"/>
      <x:c r="J16" s="2"/>
      <x:c r="K16" s="2"/>
      <x:c r="L16" s="2"/>
      <x:c r="M16" s="2"/>
      <x:c r="N16" s="2"/>
    </x:row>
    <x:row r="17" ht="22" customHeight="1">
      <x:c r="A17" s="2" t="n">
        <x:v>2</x:v>
      </x:c>
      <x:c r="B17" s="2" t="str">
        <x:v>Commercial</x:v>
      </x:c>
      <x:c r="C17" s="13" t="n">
        <x:v>84080.1845</x:v>
      </x:c>
      <x:c r="D17" s="15" t="n">
        <x:v>18037.0105</x:v>
      </x:c>
      <x:c r="E17" s="13" t="n">
        <x:f>C17*$B$7</x:f>
        <x:v>8408.018450000001</x:v>
      </x:c>
      <x:c r="F17" s="15" t="n">
        <x:f>$B$6*$B$8*$B$9</x:f>
        <x:v>651.6</x:v>
      </x:c>
      <x:c r="G17" s="15" t="n">
        <x:f>E17*(D17/C17)-F17</x:f>
        <x:v>1152.1010500000002</x:v>
      </x:c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conditionalFormatting sqref="G13:G17">
    <x:cfRule type="cellIs" dxfId="0" priority="1" operator="lessThan">
      <x:formula>0</x:formula>
    </x:cfRule>
  </x:conditionalFormatting>
  <x:dataValidations count="1">
    <x:dataValidation type="decimal" operator="between" sqref="B7">
      <x:formula1>0</x:formula1>
      <x:formula2>1</x:formula2>
    </x:dataValidation>
  </x:dataValidations>
  <x:pageMargins left="0.7" right="0.7" top="0.75" bottom="0.75" header="0.3" footer="0.3"/>
</x:worksheet>
</file>